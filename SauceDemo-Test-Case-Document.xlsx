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Summary" sheetId="2" state="visible" r:id="rId4"/>
    <sheet name="Notes &amp; Scop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<sst xmlns="http://schemas.openxmlformats.org/spreadsheetml/2006/main" count="176" uniqueCount="109">
  <si>
    <t xml:space="preserve">Test ID</t>
  </si>
  <si>
    <t xml:space="preserve">Title</t>
  </si>
  <si>
    <t xml:space="preserve">Functional Area</t>
  </si>
  <si>
    <t xml:space="preserve">Type</t>
  </si>
  <si>
    <t xml:space="preserve">Priority</t>
  </si>
  <si>
    <t xml:space="preserve">Preconditions</t>
  </si>
  <si>
    <t xml:space="preserve">Steps</t>
  </si>
  <si>
    <t xml:space="preserve">Expected Result</t>
  </si>
  <si>
    <t xml:space="preserve">Automated In</t>
  </si>
  <si>
    <t xml:space="preserve">Status</t>
  </si>
  <si>
    <t xml:space="preserve">TC-01</t>
  </si>
  <si>
    <t xml:space="preserve">Valid user logs in successfully</t>
  </si>
  <si>
    <t xml:space="preserve">Login</t>
  </si>
  <si>
    <t xml:space="preserve">Positive</t>
  </si>
  <si>
    <t xml:space="preserve">High</t>
  </si>
  <si>
    <t xml:space="preserve">On login page</t>
  </si>
  <si>
    <t xml:space="preserve">1. Enter standard_user / secret_sauce
2. Click Login</t>
  </si>
  <si>
    <t xml:space="preserve">Redirected to /inventory.html; "Products" title visible</t>
  </si>
  <si>
    <t xml:space="preserve">login.spec.ts</t>
  </si>
  <si>
    <t xml:space="preserve">Automated — Pending Execution</t>
  </si>
  <si>
    <t xml:space="preserve">TC-02</t>
  </si>
  <si>
    <t xml:space="preserve">Locked-out user is blocked</t>
  </si>
  <si>
    <t xml:space="preserve">Negative</t>
  </si>
  <si>
    <t xml:space="preserve">1. Enter locked_out_user / secret_sauce
2. Click Login</t>
  </si>
  <si>
    <t xml:space="preserve">Stays on login page; error "Sorry, this user has been locked out." shown</t>
  </si>
  <si>
    <t xml:space="preserve">TC-03</t>
  </si>
  <si>
    <t xml:space="preserve">Invalid password is rejected</t>
  </si>
  <si>
    <t xml:space="preserve">Medium</t>
  </si>
  <si>
    <t xml:space="preserve">1. Enter valid username, wrong password
2. Click Login</t>
  </si>
  <si>
    <t xml:space="preserve">Error: "Username and password do not match any user in this service"</t>
  </si>
  <si>
    <t xml:space="preserve">TC-04</t>
  </si>
  <si>
    <t xml:space="preserve">Nonexistent username is rejected</t>
  </si>
  <si>
    <t xml:space="preserve">1. Enter unregistered username
2. Click Login</t>
  </si>
  <si>
    <t xml:space="preserve">Same "do not match" error as TC-03</t>
  </si>
  <si>
    <t xml:space="preserve">TC-05</t>
  </si>
  <si>
    <t xml:space="preserve">Empty credentials show validation error</t>
  </si>
  <si>
    <t xml:space="preserve">1. Leave fields blank
2. Click Login</t>
  </si>
  <si>
    <t xml:space="preserve">Error: "Username is required"</t>
  </si>
  <si>
    <t xml:space="preserve">TC-06</t>
  </si>
  <si>
    <t xml:space="preserve">Inventory page lists all products</t>
  </si>
  <si>
    <t xml:space="preserve">Inventory &amp; Cart</t>
  </si>
  <si>
    <t xml:space="preserve">Logged in</t>
  </si>
  <si>
    <t xml:space="preserve">View inventory page</t>
  </si>
  <si>
    <t xml:space="preserve">Exactly 6 product cards rendered</t>
  </si>
  <si>
    <t xml:space="preserve">cart.spec.ts</t>
  </si>
  <si>
    <t xml:space="preserve">TC-07</t>
  </si>
  <si>
    <t xml:space="preserve">Adding products increments cart badge</t>
  </si>
  <si>
    <t xml:space="preserve">Logged in, cart empty</t>
  </si>
  <si>
    <t xml:space="preserve">1. Add Product A
2. Add Product B</t>
  </si>
  <si>
    <t xml:space="preserve">Badge shows 1, then 2</t>
  </si>
  <si>
    <t xml:space="preserve">TC-08</t>
  </si>
  <si>
    <t xml:space="preserve">Removing a product decrements cart badge</t>
  </si>
  <si>
    <t xml:space="preserve">2 items in cart</t>
  </si>
  <si>
    <t xml:space="preserve">Remove one item</t>
  </si>
  <si>
    <t xml:space="preserve">Badge decreases from 2 to 1</t>
  </si>
  <si>
    <t xml:space="preserve">TC-09</t>
  </si>
  <si>
    <t xml:space="preserve">Cart shows correct products, quantities, and prices</t>
  </si>
  <si>
    <t xml:space="preserve">2 items added from inventory</t>
  </si>
  <si>
    <t xml:space="preserve">Open cart page</t>
  </si>
  <si>
    <t xml:space="preserve">Both product names present; quantity = 1 each; prices match inventory page prices exactly</t>
  </si>
  <si>
    <t xml:space="preserve">TC-10</t>
  </si>
  <si>
    <t xml:space="preserve">Complete checkout end-to-end</t>
  </si>
  <si>
    <t xml:space="preserve">Checkout</t>
  </si>
  <si>
    <t xml:space="preserve">1. Checkout → fill valid customer info → Continue
2. Verify order summary math
3. Finish</t>
  </si>
  <si>
    <t xml:space="preserve">Reaches /checkout-complete.html; "Thank you for your order!" shown; cart badge cleared</t>
  </si>
  <si>
    <t xml:space="preserve">checkout.spec.ts</t>
  </si>
  <si>
    <t xml:space="preserve">TC-11</t>
  </si>
  <si>
    <t xml:space="preserve">Checkout blocks missing first name</t>
  </si>
  <si>
    <t xml:space="preserve">2 items in cart, on checkout step 1</t>
  </si>
  <si>
    <t xml:space="preserve">Leave First Name blank, fill rest, Continue</t>
  </si>
  <si>
    <t xml:space="preserve">Stays on step 1; error "First Name is required"</t>
  </si>
  <si>
    <t xml:space="preserve">TC-12</t>
  </si>
  <si>
    <t xml:space="preserve">Checkout blocks missing postal code</t>
  </si>
  <si>
    <t xml:space="preserve">Fill name, leave Postal Code blank, Continue</t>
  </si>
  <si>
    <t xml:space="preserve">Stays on step 1; error "Postal Code is required"</t>
  </si>
  <si>
    <t xml:space="preserve">TC-13</t>
  </si>
  <si>
    <t xml:space="preserve">Cancel from overview preserves cart contents</t>
  </si>
  <si>
    <t xml:space="preserve">On checkout step 2 (overview)</t>
  </si>
  <si>
    <t xml:space="preserve">Click Cancel</t>
  </si>
  <si>
    <t xml:space="preserve">Returns to /inventory.html; cart still holds 2 items (not cleared)</t>
  </si>
  <si>
    <t xml:space="preserve">Test Suite Summary — SauceDemo Playwright Automation</t>
  </si>
  <si>
    <t xml:space="preserve">Suite Size</t>
  </si>
  <si>
    <t xml:space="preserve">Total test cases</t>
  </si>
  <si>
    <t xml:space="preserve">Browsers per run</t>
  </si>
  <si>
    <t xml:space="preserve">Chromium, Firefox, WebKit</t>
  </si>
  <si>
    <t xml:space="preserve">Total executions per full run</t>
  </si>
  <si>
    <t xml:space="preserve">Coverage by Functional Area</t>
  </si>
  <si>
    <t xml:space="preserve">Coverage by Test Type</t>
  </si>
  <si>
    <t xml:space="preserve">Minimum 2 required by task brief</t>
  </si>
  <si>
    <t xml:space="preserve">Coverage by Priority</t>
  </si>
  <si>
    <t xml:space="preserve">Requirement Coverage</t>
  </si>
  <si>
    <t xml:space="preserve">Stated requirements covered</t>
  </si>
  <si>
    <t xml:space="preserve">100% (9 / 9)</t>
  </si>
  <si>
    <t xml:space="preserve">See ARCHITECTURE.md / TEST_CASES.md for the full traceability mapping</t>
  </si>
  <si>
    <t xml:space="preserve">Execution Status</t>
  </si>
  <si>
    <t xml:space="preserve">Pass / Fail rate</t>
  </si>
  <si>
    <t xml:space="preserve">Pending</t>
  </si>
  <si>
    <t xml:space="preserve">Requires a live run of npm test against the live site</t>
  </si>
  <si>
    <t xml:space="preserve">Notes, Methodology &amp; Scope</t>
  </si>
  <si>
    <t xml:space="preserve">Source</t>
  </si>
  <si>
    <t xml:space="preserve">Test cases derived directly from "QA Automation Take-Home Task — Playwright" (target: https://www.saucedemo.com), covering the minimum required scenarios plus additional negative and edge-case coverage.</t>
  </si>
  <si>
    <t xml:space="preserve">Automation status</t>
  </si>
  <si>
    <t xml:space="preserve">All 13 test cases are fully coded and verified to compile / discover cleanly (tsc --noEmit and playwright test --list both pass with 0 errors). Pass/Fail results require an actual run against the live site, which has not yet been executed and reported at the time this workbook was produced — the "Status" column and Summary tab reflect this honestly rather than assuming a result.</t>
  </si>
  <si>
    <t xml:space="preserve">Priority assignment</t>
  </si>
  <si>
    <t xml:space="preserve">"High" marks test cases that directly satisfy a minimum requirement from the task brief (valid login, locked-out login, inventory verification, cart count/prices, full checkout, and the two required negative scenarios). "Medium" marks additional negative and edge-case coverage added beyond the stated minimum.</t>
  </si>
  <si>
    <t xml:space="preserve">Out of scope (noted, not automated)</t>
  </si>
  <si>
    <t xml:space="preserve">Considered but intentionally left out to keep the suite focused on the requested journey: sort-order verification (Name/Price ascending-descending dropdown), "Continue Shopping" round-trip from cart to inventory, session/logout and back-button navigation edge cases, and visual regression on the problem_user account (known broken images by design).</t>
  </si>
  <si>
    <t xml:space="preserve">Related deliverables</t>
  </si>
  <si>
    <t xml:space="preserve">README.md (setup/run instructions), ARCHITECTURE.md (framework design decisions), TEST_METRICS_REPORT.md (suite-level metrics including code coverage methodology, framework-to-test ratio, and defect density), and the automated Playwright project itself.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</si>
</sst>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.5"/>
      <color rgb="FF1E2761"/>
      <name val="Arial"/>
      <family val="0"/>
      <charset val="1"/>
    </font>
    <font>
      <sz val="10.5"/>
      <color rgb="FF3D4863"/>
      <name val="Arial"/>
      <family val="0"/>
      <charset val="1"/>
    </font>
    <font>
      <b val="true"/>
      <sz val="10.5"/>
      <color rgb="FF1F8A5F"/>
      <name val="Arial"/>
      <family val="0"/>
      <charset val="1"/>
    </font>
    <font>
      <b val="true"/>
      <sz val="10.5"/>
      <color rgb="FFB0730C"/>
      <name val="Arial"/>
      <family val="0"/>
      <charset val="1"/>
    </font>
    <font>
      <i val="true"/>
      <sz val="10"/>
      <color rgb="FFB0730C"/>
      <name val="Arial"/>
      <family val="0"/>
      <charset val="1"/>
    </font>
    <font>
      <b val="true"/>
      <sz val="10.5"/>
      <color rgb="FF0E7C86"/>
      <name val="Arial"/>
      <family val="0"/>
      <charset val="1"/>
    </font>
    <font>
      <b val="true"/>
      <sz val="14"/>
      <color rgb="FF1E2761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9.5"/>
      <color rgb="FF6E7A99"/>
      <name val="Arial"/>
      <family val="0"/>
      <charset val="1"/>
    </font>
    <font>
      <b val="true"/>
      <sz val="11"/>
      <color rgb="FF1E2761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E2761"/>
        <bgColor rgb="FF333399"/>
      </patternFill>
    </fill>
    <fill>
      <patternFill patternType="solid">
        <fgColor rgb="FFF4F6FB"/>
        <bgColor rgb="FFFFFFFF"/>
      </patternFill>
    </fill>
    <fill>
      <patternFill patternType="solid">
        <fgColor rgb="FFE4F3EC"/>
        <bgColor rgb="FFE2F0F1"/>
      </patternFill>
    </fill>
    <fill>
      <patternFill patternType="solid">
        <fgColor rgb="FFFBF0DE"/>
        <bgColor rgb="FFF4F6FB"/>
      </patternFill>
    </fill>
    <fill>
      <patternFill patternType="solid">
        <fgColor rgb="FFFFFFFF"/>
        <bgColor rgb="FFF4F6FB"/>
      </patternFill>
    </fill>
    <fill>
      <patternFill patternType="solid">
        <fgColor rgb="FFE2F0F1"/>
        <bgColor rgb="FFE4F3E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3E7F0"/>
      </left>
      <right style="thin">
        <color rgb="FFE3E7F0"/>
      </right>
      <top style="thin">
        <color rgb="FFE3E7F0"/>
      </top>
      <bottom style="thin">
        <color rgb="FFE3E7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E2761"/>
          <bgColor rgb="FF000000"/>
        </patternFill>
      </fill>
    </dxf>
    <dxf>
      <fill>
        <patternFill patternType="solid">
          <fgColor rgb="FFF4F6F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3D4863"/>
          <bgColor rgb="FF000000"/>
        </patternFill>
      </fill>
    </dxf>
    <dxf>
      <fill>
        <patternFill patternType="solid">
          <fgColor rgb="FFE2F0F1"/>
          <bgColor rgb="FF000000"/>
        </patternFill>
      </fill>
    </dxf>
    <dxf>
      <fill>
        <patternFill patternType="solid">
          <fgColor rgb="FFE4F3EC"/>
          <bgColor rgb="FF000000"/>
        </patternFill>
      </fill>
    </dxf>
    <dxf>
      <fill>
        <patternFill patternType="solid">
          <fgColor rgb="FF0E7C86"/>
          <bgColor rgb="FF000000"/>
        </patternFill>
      </fill>
    </dxf>
    <dxf>
      <fill>
        <patternFill patternType="solid">
          <fgColor rgb="FF1F8A5F"/>
          <bgColor rgb="FF000000"/>
        </patternFill>
      </fill>
    </dxf>
    <dxf>
      <fill>
        <patternFill patternType="solid">
          <fgColor rgb="FFFBF0DE"/>
          <bgColor rgb="FF000000"/>
        </patternFill>
      </fill>
    </dxf>
    <dxf>
      <fill>
        <patternFill patternType="solid">
          <fgColor rgb="FFB0730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0730C"/>
      <rgbColor rgb="FF800080"/>
      <rgbColor rgb="FF0E7C86"/>
      <rgbColor rgb="FFC0C0C0"/>
      <rgbColor rgb="FF6E7A99"/>
      <rgbColor rgb="FF9999FF"/>
      <rgbColor rgb="FF993366"/>
      <rgbColor rgb="FFFBF0DE"/>
      <rgbColor rgb="FFE4F3EC"/>
      <rgbColor rgb="FF660066"/>
      <rgbColor rgb="FFFF8080"/>
      <rgbColor rgb="FF0066CC"/>
      <rgbColor rgb="FFE3E7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F0F1"/>
      <rgbColor rgb="FFF4F6FB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E2761"/>
      <rgbColor rgb="FF1F8A5F"/>
      <rgbColor rgb="FF003300"/>
      <rgbColor rgb="FF333300"/>
      <rgbColor rgb="FF993300"/>
      <rgbColor rgb="FF993366"/>
      <rgbColor rgb="FF333399"/>
      <rgbColor rgb="FF3D486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estCases" displayName="TestCases" ref="A1:J14" headerRowCount="1" totalsRowCount="0" totalsRowShown="0">
  <autoFilter ref="A1:J14"/>
  <tableColumns count="10">
    <tableColumn id="1" name="Test ID"/>
    <tableColumn id="2" name="Title"/>
    <tableColumn id="3" name="Functional Area"/>
    <tableColumn id="4" name="Type"/>
    <tableColumn id="5" name="Priority"/>
    <tableColumn id="6" name="Preconditions"/>
    <tableColumn id="7" name="Steps"/>
    <tableColumn id="8" name="Expected Result"/>
    <tableColumn id="9" name="Automated In"/>
    <tableColumn id="10" name="Statu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17"/>
    <col collapsed="false" customWidth="true" hidden="false" outlineLevel="0" max="5" min="4" style="0" width="10"/>
    <col collapsed="false" customWidth="true" hidden="false" outlineLevel="0" max="6" min="6" style="0" width="26"/>
    <col collapsed="false" customWidth="true" hidden="false" outlineLevel="0" max="8" min="7" style="0" width="42"/>
    <col collapsed="false" customWidth="true" hidden="false" outlineLevel="0" max="9" min="9" style="0" width="16"/>
    <col collapsed="false" customWidth="true" hidden="false" outlineLevel="0" max="10" min="10" style="0" width="24"/>
  </cols>
  <sheetData>
    <row r="1" customFormat="false" ht="19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45.75" hidden="false" customHeight="true" outlineLevel="0" collapsed="false">
      <c r="A2" s="2" t="s">
        <v>10</v>
      </c>
      <c r="B2" s="3" t="s">
        <v>11</v>
      </c>
      <c r="C2" s="3" t="s">
        <v>12</v>
      </c>
      <c r="D2" s="4" t="s">
        <v>13</v>
      </c>
      <c r="E2" s="5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6" t="s">
        <v>19</v>
      </c>
    </row>
    <row r="3" customFormat="false" ht="45.75" hidden="false" customHeight="true" outlineLevel="0" collapsed="false">
      <c r="A3" s="7" t="s">
        <v>20</v>
      </c>
      <c r="B3" s="8" t="s">
        <v>21</v>
      </c>
      <c r="C3" s="8" t="s">
        <v>12</v>
      </c>
      <c r="D3" s="9" t="s">
        <v>22</v>
      </c>
      <c r="E3" s="5" t="s">
        <v>14</v>
      </c>
      <c r="F3" s="8" t="s">
        <v>15</v>
      </c>
      <c r="G3" s="8" t="s">
        <v>23</v>
      </c>
      <c r="H3" s="8" t="s">
        <v>24</v>
      </c>
      <c r="I3" s="8" t="s">
        <v>18</v>
      </c>
      <c r="J3" s="10" t="s">
        <v>19</v>
      </c>
    </row>
    <row r="4" customFormat="false" ht="45.75" hidden="false" customHeight="true" outlineLevel="0" collapsed="false">
      <c r="A4" s="2" t="s">
        <v>25</v>
      </c>
      <c r="B4" s="3" t="s">
        <v>26</v>
      </c>
      <c r="C4" s="3" t="s">
        <v>12</v>
      </c>
      <c r="D4" s="9" t="s">
        <v>22</v>
      </c>
      <c r="E4" s="11" t="s">
        <v>27</v>
      </c>
      <c r="F4" s="3" t="s">
        <v>15</v>
      </c>
      <c r="G4" s="3" t="s">
        <v>28</v>
      </c>
      <c r="H4" s="3" t="s">
        <v>29</v>
      </c>
      <c r="I4" s="3" t="s">
        <v>18</v>
      </c>
      <c r="J4" s="6" t="s">
        <v>19</v>
      </c>
    </row>
    <row r="5" customFormat="false" ht="45.75" hidden="false" customHeight="true" outlineLevel="0" collapsed="false">
      <c r="A5" s="7" t="s">
        <v>30</v>
      </c>
      <c r="B5" s="8" t="s">
        <v>31</v>
      </c>
      <c r="C5" s="8" t="s">
        <v>12</v>
      </c>
      <c r="D5" s="9" t="s">
        <v>22</v>
      </c>
      <c r="E5" s="12" t="s">
        <v>27</v>
      </c>
      <c r="F5" s="8" t="s">
        <v>15</v>
      </c>
      <c r="G5" s="8" t="s">
        <v>32</v>
      </c>
      <c r="H5" s="8" t="s">
        <v>33</v>
      </c>
      <c r="I5" s="8" t="s">
        <v>18</v>
      </c>
      <c r="J5" s="10" t="s">
        <v>19</v>
      </c>
    </row>
    <row r="6" customFormat="false" ht="45.75" hidden="false" customHeight="true" outlineLevel="0" collapsed="false">
      <c r="A6" s="2" t="s">
        <v>34</v>
      </c>
      <c r="B6" s="3" t="s">
        <v>35</v>
      </c>
      <c r="C6" s="3" t="s">
        <v>12</v>
      </c>
      <c r="D6" s="9" t="s">
        <v>22</v>
      </c>
      <c r="E6" s="11" t="s">
        <v>27</v>
      </c>
      <c r="F6" s="3" t="s">
        <v>15</v>
      </c>
      <c r="G6" s="3" t="s">
        <v>36</v>
      </c>
      <c r="H6" s="3" t="s">
        <v>37</v>
      </c>
      <c r="I6" s="3" t="s">
        <v>18</v>
      </c>
      <c r="J6" s="6" t="s">
        <v>19</v>
      </c>
    </row>
    <row r="7" customFormat="false" ht="45.75" hidden="false" customHeight="true" outlineLevel="0" collapsed="false">
      <c r="A7" s="7" t="s">
        <v>38</v>
      </c>
      <c r="B7" s="8" t="s">
        <v>39</v>
      </c>
      <c r="C7" s="8" t="s">
        <v>40</v>
      </c>
      <c r="D7" s="4" t="s">
        <v>13</v>
      </c>
      <c r="E7" s="5" t="s">
        <v>14</v>
      </c>
      <c r="F7" s="8" t="s">
        <v>41</v>
      </c>
      <c r="G7" s="8" t="s">
        <v>42</v>
      </c>
      <c r="H7" s="8" t="s">
        <v>43</v>
      </c>
      <c r="I7" s="8" t="s">
        <v>44</v>
      </c>
      <c r="J7" s="10" t="s">
        <v>19</v>
      </c>
    </row>
    <row r="8" customFormat="false" ht="45.75" hidden="false" customHeight="true" outlineLevel="0" collapsed="false">
      <c r="A8" s="2" t="s">
        <v>45</v>
      </c>
      <c r="B8" s="3" t="s">
        <v>46</v>
      </c>
      <c r="C8" s="3" t="s">
        <v>40</v>
      </c>
      <c r="D8" s="4" t="s">
        <v>13</v>
      </c>
      <c r="E8" s="5" t="s">
        <v>14</v>
      </c>
      <c r="F8" s="3" t="s">
        <v>47</v>
      </c>
      <c r="G8" s="3" t="s">
        <v>48</v>
      </c>
      <c r="H8" s="3" t="s">
        <v>49</v>
      </c>
      <c r="I8" s="3" t="s">
        <v>44</v>
      </c>
      <c r="J8" s="6" t="s">
        <v>19</v>
      </c>
    </row>
    <row r="9" customFormat="false" ht="45.75" hidden="false" customHeight="true" outlineLevel="0" collapsed="false">
      <c r="A9" s="7" t="s">
        <v>50</v>
      </c>
      <c r="B9" s="8" t="s">
        <v>51</v>
      </c>
      <c r="C9" s="8" t="s">
        <v>40</v>
      </c>
      <c r="D9" s="4" t="s">
        <v>13</v>
      </c>
      <c r="E9" s="12" t="s">
        <v>27</v>
      </c>
      <c r="F9" s="8" t="s">
        <v>52</v>
      </c>
      <c r="G9" s="8" t="s">
        <v>53</v>
      </c>
      <c r="H9" s="8" t="s">
        <v>54</v>
      </c>
      <c r="I9" s="8" t="s">
        <v>44</v>
      </c>
      <c r="J9" s="10" t="s">
        <v>19</v>
      </c>
    </row>
    <row r="10" customFormat="false" ht="45.75" hidden="false" customHeight="true" outlineLevel="0" collapsed="false">
      <c r="A10" s="2" t="s">
        <v>55</v>
      </c>
      <c r="B10" s="3" t="s">
        <v>56</v>
      </c>
      <c r="C10" s="3" t="s">
        <v>40</v>
      </c>
      <c r="D10" s="4" t="s">
        <v>13</v>
      </c>
      <c r="E10" s="5" t="s">
        <v>14</v>
      </c>
      <c r="F10" s="3" t="s">
        <v>57</v>
      </c>
      <c r="G10" s="3" t="s">
        <v>58</v>
      </c>
      <c r="H10" s="3" t="s">
        <v>59</v>
      </c>
      <c r="I10" s="3" t="s">
        <v>44</v>
      </c>
      <c r="J10" s="6" t="s">
        <v>19</v>
      </c>
    </row>
    <row r="11" customFormat="false" ht="45.75" hidden="false" customHeight="true" outlineLevel="0" collapsed="false">
      <c r="A11" s="7" t="s">
        <v>60</v>
      </c>
      <c r="B11" s="8" t="s">
        <v>61</v>
      </c>
      <c r="C11" s="8" t="s">
        <v>62</v>
      </c>
      <c r="D11" s="4" t="s">
        <v>13</v>
      </c>
      <c r="E11" s="5" t="s">
        <v>14</v>
      </c>
      <c r="F11" s="8" t="s">
        <v>52</v>
      </c>
      <c r="G11" s="8" t="s">
        <v>63</v>
      </c>
      <c r="H11" s="8" t="s">
        <v>64</v>
      </c>
      <c r="I11" s="8" t="s">
        <v>65</v>
      </c>
      <c r="J11" s="10" t="s">
        <v>19</v>
      </c>
    </row>
    <row r="12" customFormat="false" ht="45.75" hidden="false" customHeight="true" outlineLevel="0" collapsed="false">
      <c r="A12" s="2" t="s">
        <v>66</v>
      </c>
      <c r="B12" s="3" t="s">
        <v>67</v>
      </c>
      <c r="C12" s="3" t="s">
        <v>62</v>
      </c>
      <c r="D12" s="9" t="s">
        <v>22</v>
      </c>
      <c r="E12" s="5" t="s">
        <v>14</v>
      </c>
      <c r="F12" s="3" t="s">
        <v>68</v>
      </c>
      <c r="G12" s="3" t="s">
        <v>69</v>
      </c>
      <c r="H12" s="3" t="s">
        <v>70</v>
      </c>
      <c r="I12" s="3" t="s">
        <v>65</v>
      </c>
      <c r="J12" s="6" t="s">
        <v>19</v>
      </c>
    </row>
    <row r="13" customFormat="false" ht="45.75" hidden="false" customHeight="true" outlineLevel="0" collapsed="false">
      <c r="A13" s="7" t="s">
        <v>71</v>
      </c>
      <c r="B13" s="8" t="s">
        <v>72</v>
      </c>
      <c r="C13" s="8" t="s">
        <v>62</v>
      </c>
      <c r="D13" s="9" t="s">
        <v>22</v>
      </c>
      <c r="E13" s="5" t="s">
        <v>14</v>
      </c>
      <c r="F13" s="8" t="s">
        <v>68</v>
      </c>
      <c r="G13" s="8" t="s">
        <v>73</v>
      </c>
      <c r="H13" s="8" t="s">
        <v>74</v>
      </c>
      <c r="I13" s="8" t="s">
        <v>65</v>
      </c>
      <c r="J13" s="10" t="s">
        <v>19</v>
      </c>
    </row>
    <row r="14" customFormat="false" ht="45.75" hidden="false" customHeight="true" outlineLevel="0" collapsed="false">
      <c r="A14" s="2" t="s">
        <v>75</v>
      </c>
      <c r="B14" s="3" t="s">
        <v>76</v>
      </c>
      <c r="C14" s="3" t="s">
        <v>62</v>
      </c>
      <c r="D14" s="4" t="s">
        <v>13</v>
      </c>
      <c r="E14" s="11" t="s">
        <v>27</v>
      </c>
      <c r="F14" s="3" t="s">
        <v>77</v>
      </c>
      <c r="G14" s="3" t="s">
        <v>78</v>
      </c>
      <c r="H14" s="3" t="s">
        <v>79</v>
      </c>
      <c r="I14" s="3" t="s">
        <v>65</v>
      </c>
      <c r="J14" s="6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50"/>
  </cols>
  <sheetData>
    <row r="1" customFormat="false" ht="24" hidden="false" customHeight="true" outlineLevel="0" collapsed="false">
      <c r="A1" s="13" t="s">
        <v>80</v>
      </c>
      <c r="B1" s="13"/>
      <c r="C1" s="13"/>
    </row>
    <row r="3" customFormat="false" ht="19.5" hidden="false" customHeight="true" outlineLevel="0" collapsed="false">
      <c r="A3" s="14" t="s">
        <v>81</v>
      </c>
      <c r="B3" s="14"/>
      <c r="C3" s="14"/>
    </row>
    <row r="4" customFormat="false" ht="15" hidden="false" customHeight="false" outlineLevel="0" collapsed="false">
      <c r="A4" s="15" t="s">
        <v>82</v>
      </c>
      <c r="B4" s="16" t="n">
        <f aca="false">COUNTA('Test Cases'!A2:A14)</f>
        <v>13</v>
      </c>
      <c r="C4" s="17"/>
    </row>
    <row r="5" customFormat="false" ht="15" hidden="false" customHeight="false" outlineLevel="0" collapsed="false">
      <c r="A5" s="18" t="s">
        <v>83</v>
      </c>
      <c r="B5" s="19" t="n">
        <v>3</v>
      </c>
      <c r="C5" s="20" t="s">
        <v>84</v>
      </c>
    </row>
    <row r="6" customFormat="false" ht="15" hidden="false" customHeight="false" outlineLevel="0" collapsed="false">
      <c r="A6" s="15" t="s">
        <v>85</v>
      </c>
      <c r="B6" s="16" t="n">
        <f aca="false">B4*B5</f>
        <v>39</v>
      </c>
      <c r="C6" s="17"/>
    </row>
    <row r="8" customFormat="false" ht="19.5" hidden="false" customHeight="true" outlineLevel="0" collapsed="false">
      <c r="A8" s="14" t="s">
        <v>86</v>
      </c>
      <c r="B8" s="14"/>
      <c r="C8" s="14"/>
    </row>
    <row r="9" customFormat="false" ht="15" hidden="false" customHeight="false" outlineLevel="0" collapsed="false">
      <c r="A9" s="18" t="s">
        <v>12</v>
      </c>
      <c r="B9" s="19" t="n">
        <f aca="false">COUNTIF('Test Cases'!C2:C14,"Login")</f>
        <v>5</v>
      </c>
      <c r="C9" s="20"/>
    </row>
    <row r="10" customFormat="false" ht="15" hidden="false" customHeight="false" outlineLevel="0" collapsed="false">
      <c r="A10" s="15" t="s">
        <v>40</v>
      </c>
      <c r="B10" s="16" t="n">
        <f aca="false">COUNTIF('Test Cases'!C2:C14,"Inventory &amp; Cart")</f>
        <v>4</v>
      </c>
      <c r="C10" s="17"/>
    </row>
    <row r="11" customFormat="false" ht="15" hidden="false" customHeight="false" outlineLevel="0" collapsed="false">
      <c r="A11" s="18" t="s">
        <v>62</v>
      </c>
      <c r="B11" s="19" t="n">
        <f aca="false">COUNTIF('Test Cases'!C2:C14,"Checkout")</f>
        <v>4</v>
      </c>
      <c r="C11" s="20"/>
    </row>
    <row r="13" customFormat="false" ht="19.5" hidden="false" customHeight="true" outlineLevel="0" collapsed="false">
      <c r="A13" s="14" t="s">
        <v>87</v>
      </c>
      <c r="B13" s="14"/>
      <c r="C13" s="14"/>
    </row>
    <row r="14" customFormat="false" ht="15" hidden="false" customHeight="false" outlineLevel="0" collapsed="false">
      <c r="A14" s="15" t="s">
        <v>13</v>
      </c>
      <c r="B14" s="16" t="n">
        <f aca="false">COUNTIF('Test Cases'!D2:D14,"Positive")</f>
        <v>7</v>
      </c>
      <c r="C14" s="17"/>
    </row>
    <row r="15" customFormat="false" ht="15" hidden="false" customHeight="false" outlineLevel="0" collapsed="false">
      <c r="A15" s="18" t="s">
        <v>22</v>
      </c>
      <c r="B15" s="19" t="n">
        <f aca="false">COUNTIF('Test Cases'!D2:D14,"Negative")</f>
        <v>6</v>
      </c>
      <c r="C15" s="20" t="s">
        <v>88</v>
      </c>
    </row>
    <row r="17" customFormat="false" ht="19.5" hidden="false" customHeight="true" outlineLevel="0" collapsed="false">
      <c r="A17" s="14" t="s">
        <v>89</v>
      </c>
      <c r="B17" s="14"/>
      <c r="C17" s="14"/>
    </row>
    <row r="18" customFormat="false" ht="15" hidden="false" customHeight="false" outlineLevel="0" collapsed="false">
      <c r="A18" s="15" t="s">
        <v>14</v>
      </c>
      <c r="B18" s="16" t="n">
        <f aca="false">COUNTIF('Test Cases'!E2:E14,"High")</f>
        <v>8</v>
      </c>
      <c r="C18" s="17"/>
    </row>
    <row r="19" customFormat="false" ht="15" hidden="false" customHeight="false" outlineLevel="0" collapsed="false">
      <c r="A19" s="18" t="s">
        <v>27</v>
      </c>
      <c r="B19" s="19" t="n">
        <f aca="false">COUNTIF('Test Cases'!E2:E14,"Medium")</f>
        <v>5</v>
      </c>
      <c r="C19" s="20"/>
    </row>
    <row r="21" customFormat="false" ht="19.5" hidden="false" customHeight="true" outlineLevel="0" collapsed="false">
      <c r="A21" s="14" t="s">
        <v>90</v>
      </c>
      <c r="B21" s="14"/>
      <c r="C21" s="14"/>
    </row>
    <row r="22" customFormat="false" ht="15" hidden="false" customHeight="false" outlineLevel="0" collapsed="false">
      <c r="A22" s="15" t="s">
        <v>91</v>
      </c>
      <c r="B22" s="16" t="s">
        <v>92</v>
      </c>
      <c r="C22" s="17" t="s">
        <v>93</v>
      </c>
    </row>
    <row r="24" customFormat="false" ht="19.5" hidden="false" customHeight="true" outlineLevel="0" collapsed="false">
      <c r="A24" s="14" t="s">
        <v>94</v>
      </c>
      <c r="B24" s="14"/>
      <c r="C24" s="14"/>
    </row>
    <row r="25" customFormat="false" ht="15" hidden="false" customHeight="false" outlineLevel="0" collapsed="false">
      <c r="A25" s="18" t="s">
        <v>95</v>
      </c>
      <c r="B25" s="19" t="s">
        <v>96</v>
      </c>
      <c r="C25" s="20" t="s">
        <v>97</v>
      </c>
    </row>
  </sheetData>
  <mergeCells count="7">
    <mergeCell ref="A1:C1"/>
    <mergeCell ref="A3:C3"/>
    <mergeCell ref="A8:C8"/>
    <mergeCell ref="A13:C13"/>
    <mergeCell ref="A17:C17"/>
    <mergeCell ref="A21:C21"/>
    <mergeCell ref="A24:C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24" hidden="false" customHeight="true" outlineLevel="0" collapsed="false">
      <c r="A1" s="21" t="s">
        <v>98</v>
      </c>
    </row>
    <row r="3" customFormat="false" ht="15" hidden="false" customHeight="false" outlineLevel="0" collapsed="false">
      <c r="A3" s="22" t="s">
        <v>99</v>
      </c>
    </row>
    <row r="4" customFormat="false" ht="60" hidden="false" customHeight="true" outlineLevel="0" collapsed="false">
      <c r="A4" s="23" t="s">
        <v>100</v>
      </c>
    </row>
    <row r="6" customFormat="false" ht="15" hidden="false" customHeight="false" outlineLevel="0" collapsed="false">
      <c r="A6" s="22" t="s">
        <v>101</v>
      </c>
    </row>
    <row r="7" customFormat="false" ht="60" hidden="false" customHeight="true" outlineLevel="0" collapsed="false">
      <c r="A7" s="23" t="s">
        <v>102</v>
      </c>
    </row>
    <row r="9" customFormat="false" ht="15" hidden="false" customHeight="false" outlineLevel="0" collapsed="false">
      <c r="A9" s="22" t="s">
        <v>103</v>
      </c>
    </row>
    <row r="10" customFormat="false" ht="60" hidden="false" customHeight="true" outlineLevel="0" collapsed="false">
      <c r="A10" s="23" t="s">
        <v>104</v>
      </c>
    </row>
    <row r="12" customFormat="false" ht="15" hidden="false" customHeight="false" outlineLevel="0" collapsed="false">
      <c r="A12" s="22" t="s">
        <v>105</v>
      </c>
    </row>
    <row r="13" customFormat="false" ht="60" hidden="false" customHeight="true" outlineLevel="0" collapsed="false">
      <c r="A13" s="23" t="s">
        <v>106</v>
      </c>
    </row>
    <row r="15" customFormat="false" ht="15" hidden="false" customHeight="false" outlineLevel="0" collapsed="false">
      <c r="A15" s="22" t="s">
        <v>107</v>
      </c>
    </row>
    <row r="16" customFormat="false" ht="60" hidden="false" customHeight="true" outlineLevel="0" collapsed="false">
      <c r="A16" s="23" t="s">
        <v>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2026-08-28T11:24:11Z</dcterms:created>
  <dc:creator>openpyxl</dc:creator>
  <dc:description/>
  <dc:language>en-US</dc:language>
  <cp:lastModifiedBy/>
  <dcterms:modified xsi:type="dcterms:W3CDTF">2026-08-28T11:24:11Z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